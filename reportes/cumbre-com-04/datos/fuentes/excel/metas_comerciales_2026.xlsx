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Meta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Comercial</author>
  </authors>
  <commentList>
    <comment ref="I7" authorId="0" shapeId="0">
      <text>
        <t>Subimos WEB por Cyber Wow. Martín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Ene</t>
        </is>
      </c>
      <c r="C1" t="inlineStr">
        <is>
          <t>Feb</t>
        </is>
      </c>
      <c r="D1" t="inlineStr">
        <is>
          <t>Mar</t>
        </is>
      </c>
      <c r="E1" t="inlineStr">
        <is>
          <t>Abr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Dic</t>
        </is>
      </c>
    </row>
    <row r="2">
      <c r="A2" t="inlineStr">
        <is>
          <t>Peso</t>
        </is>
      </c>
      <c r="B2" t="n">
        <v>0.07000000000000001</v>
      </c>
      <c r="C2" t="n">
        <v>0.066</v>
      </c>
      <c r="D2" t="n">
        <v>0.07099999999999999</v>
      </c>
      <c r="E2" t="n">
        <v>0.074</v>
      </c>
      <c r="F2" t="n">
        <v>0.08400000000000001</v>
      </c>
      <c r="G2" t="n">
        <v>0.09</v>
      </c>
      <c r="H2" t="n">
        <v>0.104</v>
      </c>
      <c r="I2" t="n">
        <v>0.08599999999999999</v>
      </c>
      <c r="J2" t="n">
        <v>0.078</v>
      </c>
      <c r="K2" t="n">
        <v>0.082</v>
      </c>
      <c r="L2" t="n">
        <v>0.091</v>
      </c>
      <c r="M2" t="n">
        <v>0.104</v>
      </c>
    </row>
    <row r="5">
      <c r="A5" t="inlineStr">
        <is>
          <t>Tienda</t>
        </is>
      </c>
      <c r="B5" t="inlineStr">
        <is>
          <t>Nombre</t>
        </is>
      </c>
      <c r="C5" t="inlineStr">
        <is>
          <t>Meta anual 2026</t>
        </is>
      </c>
    </row>
    <row r="6">
      <c r="A6" t="inlineStr">
        <is>
          <t>T01</t>
        </is>
      </c>
      <c r="B6" t="inlineStr">
        <is>
          <t>Tienda Miraflores</t>
        </is>
      </c>
      <c r="C6" t="n">
        <v>6590000</v>
      </c>
    </row>
    <row r="7">
      <c r="A7" t="inlineStr">
        <is>
          <t>T02</t>
        </is>
      </c>
      <c r="B7" t="inlineStr">
        <is>
          <t>Tienda San Miguel</t>
        </is>
      </c>
      <c r="C7" t="n">
        <v>5980000</v>
      </c>
    </row>
    <row r="8">
      <c r="A8" t="inlineStr">
        <is>
          <t>T03</t>
        </is>
      </c>
      <c r="B8" t="inlineStr">
        <is>
          <t>Tienda Arequipa Cayma</t>
        </is>
      </c>
      <c r="C8" t="n">
        <v>4740000</v>
      </c>
    </row>
    <row r="9">
      <c r="A9" t="inlineStr">
        <is>
          <t>T04</t>
        </is>
      </c>
      <c r="B9" t="inlineStr">
        <is>
          <t>Tienda Trujillo</t>
        </is>
      </c>
      <c r="C9" t="n">
        <v>3880000</v>
      </c>
    </row>
    <row r="10">
      <c r="A10" t="inlineStr">
        <is>
          <t>T05</t>
        </is>
      </c>
      <c r="B10" t="inlineStr">
        <is>
          <t>Tienda Cusco</t>
        </is>
      </c>
      <c r="C10" t="n">
        <v>4430000</v>
      </c>
    </row>
    <row r="11">
      <c r="A11" t="inlineStr">
        <is>
          <t>WEB</t>
        </is>
      </c>
      <c r="B11" t="inlineStr">
        <is>
          <t>Tienda online</t>
        </is>
      </c>
      <c r="C11" t="n">
        <v>4580000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t="inlineStr">
        <is>
          <t>Tienda</t>
        </is>
      </c>
      <c r="B1" t="inlineStr">
        <is>
          <t>Nombre</t>
        </is>
      </c>
      <c r="C1" t="inlineStr">
        <is>
          <t>Ene</t>
        </is>
      </c>
      <c r="D1" t="inlineStr">
        <is>
          <t>Feb</t>
        </is>
      </c>
      <c r="E1" t="inlineStr">
        <is>
          <t>Mar</t>
        </is>
      </c>
      <c r="F1" t="inlineStr">
        <is>
          <t>Abr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Dic</t>
        </is>
      </c>
      <c r="O1" t="inlineStr">
        <is>
          <t>Total año</t>
        </is>
      </c>
    </row>
    <row r="2">
      <c r="A2" t="inlineStr">
        <is>
          <t>T01</t>
        </is>
      </c>
      <c r="B2" t="inlineStr">
        <is>
          <t>Tienda Miraflores</t>
        </is>
      </c>
      <c r="C2">
        <f>ROUND(Parametros!$C$6*Parametros!B$2,0)</f>
        <v>461300</v>
      </c>
      <c r="D2">
        <f>ROUND(Parametros!$C$6*Parametros!C$2,0)</f>
        <v>434940</v>
      </c>
      <c r="E2">
        <f>ROUND(Parametros!$C$6*Parametros!D$2,0)</f>
        <v>467890</v>
      </c>
      <c r="F2">
        <f>ROUND(Parametros!$C$6*Parametros!E$2,0)</f>
        <v>487660</v>
      </c>
      <c r="G2">
        <f>ROUND(Parametros!$C$6*Parametros!F$2,0)</f>
        <v>553560</v>
      </c>
      <c r="H2">
        <f>ROUND(Parametros!$C$6*Parametros!G$2,0)</f>
        <v>593100</v>
      </c>
      <c r="I2">
        <f>ROUND(Parametros!$C$6*Parametros!H$2,0)</f>
        <v>685360</v>
      </c>
      <c r="J2">
        <f>ROUND(Parametros!$C$6*Parametros!I$2,0)</f>
        <v>566740</v>
      </c>
      <c r="K2">
        <f>ROUND(Parametros!$C$6*Parametros!J$2,0)</f>
        <v>514020</v>
      </c>
      <c r="L2">
        <f>ROUND(Parametros!$C$6*Parametros!K$2,0)</f>
        <v>540380</v>
      </c>
      <c r="M2">
        <f>ROUND(Parametros!$C$6*Parametros!L$2,0)</f>
        <v>599690</v>
      </c>
      <c r="N2">
        <f>ROUND(Parametros!$C$6*Parametros!M$2,0)</f>
        <v>685360</v>
      </c>
      <c r="O2">
        <f>SUM(C2:N2)</f>
        <v>6590000</v>
      </c>
    </row>
    <row r="3">
      <c r="A3" t="inlineStr">
        <is>
          <t>T02</t>
        </is>
      </c>
      <c r="B3" t="inlineStr">
        <is>
          <t>Tienda San Miguel</t>
        </is>
      </c>
      <c r="C3">
        <f>ROUND(Parametros!$C$7*Parametros!B$2,0)</f>
        <v>418600</v>
      </c>
      <c r="D3">
        <f>ROUND(Parametros!$C$7*Parametros!C$2,0)</f>
        <v>394680</v>
      </c>
      <c r="E3">
        <f>ROUND(Parametros!$C$7*Parametros!D$2,0)</f>
        <v>424580</v>
      </c>
      <c r="F3">
        <f>ROUND(Parametros!$C$7*Parametros!E$2,0)</f>
        <v>442520</v>
      </c>
      <c r="G3">
        <f>ROUND(Parametros!$C$7*Parametros!F$2,0)</f>
        <v>502320</v>
      </c>
      <c r="H3">
        <f>ROUND(Parametros!$C$7*Parametros!G$2,0)</f>
        <v>538200</v>
      </c>
      <c r="I3">
        <f>ROUND(Parametros!$C$7*Parametros!H$2,0)</f>
        <v>621920</v>
      </c>
      <c r="J3">
        <f>ROUND(Parametros!$C$7*Parametros!I$2,0)</f>
        <v>514280</v>
      </c>
      <c r="K3">
        <f>ROUND(Parametros!$C$7*Parametros!J$2,0)</f>
        <v>466440</v>
      </c>
      <c r="L3">
        <f>ROUND(Parametros!$C$7*Parametros!K$2,0)</f>
        <v>490360</v>
      </c>
      <c r="M3">
        <f>ROUND(Parametros!$C$7*Parametros!L$2,0)</f>
        <v>544180</v>
      </c>
      <c r="N3">
        <f>ROUND(Parametros!$C$7*Parametros!M$2,0)</f>
        <v>621920</v>
      </c>
      <c r="O3">
        <f>SUM(C3:N3)</f>
        <v>5980000</v>
      </c>
    </row>
    <row r="4">
      <c r="A4" t="inlineStr">
        <is>
          <t>T03</t>
        </is>
      </c>
      <c r="B4" t="inlineStr">
        <is>
          <t>Tienda Arequipa Cayma</t>
        </is>
      </c>
      <c r="C4">
        <f>ROUND(Parametros!$C$8*Parametros!B$2,0)</f>
        <v>331800</v>
      </c>
      <c r="D4">
        <f>ROUND(Parametros!$C$8*Parametros!C$2,0)</f>
        <v>312840</v>
      </c>
      <c r="E4">
        <f>ROUND(Parametros!$C$8*Parametros!D$2,0)</f>
        <v>336540</v>
      </c>
      <c r="F4">
        <f>ROUND(Parametros!$C$8*Parametros!E$2,0)</f>
        <v>350760</v>
      </c>
      <c r="G4">
        <f>ROUND(Parametros!$C$8*Parametros!F$2,0)</f>
        <v>398160</v>
      </c>
      <c r="H4">
        <f>ROUND(Parametros!$C$8*Parametros!G$2,0)</f>
        <v>426600</v>
      </c>
      <c r="I4">
        <f>ROUND(Parametros!$C$8*Parametros!H$2,0)</f>
        <v>492960</v>
      </c>
      <c r="J4">
        <f>ROUND(Parametros!$C$8*Parametros!I$2,0)</f>
        <v>407640</v>
      </c>
      <c r="K4">
        <f>ROUND(Parametros!$C$8*Parametros!J$2,0)</f>
        <v>369720</v>
      </c>
      <c r="L4">
        <f>ROUND(Parametros!$C$8*Parametros!K$2,0)</f>
        <v>388680</v>
      </c>
      <c r="M4">
        <f>ROUND(Parametros!$C$8*Parametros!L$2,0)</f>
        <v>431340</v>
      </c>
      <c r="N4">
        <f>ROUND(Parametros!$C$8*Parametros!M$2,0)</f>
        <v>492960</v>
      </c>
      <c r="O4">
        <f>SUM(C4:N4)</f>
        <v>4740000</v>
      </c>
    </row>
    <row r="5">
      <c r="A5" t="inlineStr">
        <is>
          <t>T04</t>
        </is>
      </c>
      <c r="B5" t="inlineStr">
        <is>
          <t>Tienda Trujillo</t>
        </is>
      </c>
      <c r="C5">
        <f>ROUND(Parametros!$C$9*Parametros!B$2,0)</f>
        <v>271600</v>
      </c>
      <c r="D5">
        <f>ROUND(Parametros!$C$9*Parametros!C$2,0)</f>
        <v>256080</v>
      </c>
      <c r="E5">
        <f>ROUND(Parametros!$C$9*Parametros!D$2,0)</f>
        <v>275480</v>
      </c>
      <c r="F5">
        <f>ROUND(Parametros!$C$9*Parametros!E$2,0)</f>
        <v>287120</v>
      </c>
      <c r="G5">
        <f>ROUND(Parametros!$C$9*Parametros!F$2,0)</f>
        <v>325920</v>
      </c>
      <c r="H5">
        <f>ROUND(Parametros!$C$9*Parametros!G$2,0)</f>
        <v>349200</v>
      </c>
      <c r="I5">
        <f>ROUND(Parametros!$C$9*Parametros!H$2,0)</f>
        <v>403520</v>
      </c>
      <c r="J5">
        <f>ROUND(Parametros!$C$9*Parametros!I$2,0)</f>
        <v>333680</v>
      </c>
      <c r="K5">
        <f>ROUND(Parametros!$C$9*Parametros!J$2,0)</f>
        <v>302640</v>
      </c>
      <c r="L5">
        <f>ROUND(Parametros!$C$9*Parametros!K$2,0)</f>
        <v>318160</v>
      </c>
      <c r="M5">
        <f>ROUND(Parametros!$C$9*Parametros!L$2,0)</f>
        <v>353080</v>
      </c>
      <c r="N5">
        <f>ROUND(Parametros!$C$9*Parametros!M$2,0)</f>
        <v>403520</v>
      </c>
      <c r="O5">
        <f>SUM(C5:N5)</f>
        <v>3880000</v>
      </c>
    </row>
    <row r="6">
      <c r="A6" t="inlineStr">
        <is>
          <t>T05</t>
        </is>
      </c>
      <c r="B6" t="inlineStr">
        <is>
          <t>Tienda Cusco</t>
        </is>
      </c>
      <c r="C6">
        <f>ROUND(Parametros!$C$10*Parametros!B$2,0)</f>
        <v>310100</v>
      </c>
      <c r="D6">
        <f>ROUND(Parametros!$C$10*Parametros!C$2,0)</f>
        <v>292380</v>
      </c>
      <c r="E6">
        <f>ROUND(Parametros!$C$10*Parametros!D$2,0)</f>
        <v>314530</v>
      </c>
      <c r="F6">
        <f>ROUND(Parametros!$C$10*Parametros!E$2,0)</f>
        <v>327820</v>
      </c>
      <c r="G6">
        <f>ROUND(Parametros!$C$10*Parametros!F$2,0)</f>
        <v>372120</v>
      </c>
      <c r="H6">
        <f>ROUND(Parametros!$C$10*Parametros!G$2,0)</f>
        <v>398700</v>
      </c>
      <c r="I6">
        <f>ROUND(Parametros!$C$10*Parametros!H$2,0)</f>
        <v>460720</v>
      </c>
      <c r="J6">
        <f>ROUND(Parametros!$C$10*Parametros!I$2,0)</f>
        <v>380980</v>
      </c>
      <c r="K6">
        <f>ROUND(Parametros!$C$10*Parametros!J$2,0)</f>
        <v>345540</v>
      </c>
      <c r="L6">
        <f>ROUND(Parametros!$C$10*Parametros!K$2,0)</f>
        <v>363260</v>
      </c>
      <c r="M6">
        <f>ROUND(Parametros!$C$10*Parametros!L$2,0)</f>
        <v>403130</v>
      </c>
      <c r="N6">
        <f>ROUND(Parametros!$C$10*Parametros!M$2,0)</f>
        <v>460720</v>
      </c>
      <c r="O6">
        <f>SUM(C6:N6)</f>
        <v>4430000</v>
      </c>
    </row>
    <row r="7">
      <c r="A7" t="inlineStr">
        <is>
          <t>WEB</t>
        </is>
      </c>
      <c r="B7" t="inlineStr">
        <is>
          <t>Tienda online</t>
        </is>
      </c>
      <c r="C7">
        <f>ROUND(Parametros!$C$11*Parametros!B$2,0)</f>
        <v>320600</v>
      </c>
      <c r="D7">
        <f>ROUND(Parametros!$C$11*Parametros!C$2,0)</f>
        <v>302280</v>
      </c>
      <c r="E7">
        <f>ROUND(Parametros!$C$11*Parametros!D$2,0)</f>
        <v>325180</v>
      </c>
      <c r="F7">
        <f>ROUND(Parametros!$C$11*Parametros!E$2,0)</f>
        <v>338920</v>
      </c>
      <c r="G7">
        <f>ROUND(Parametros!$C$11*Parametros!F$2,0)</f>
        <v>384720</v>
      </c>
      <c r="H7">
        <f>ROUND(Parametros!$C$11*Parametros!G$2,0)</f>
        <v>412200</v>
      </c>
      <c r="I7" t="n">
        <v>571000</v>
      </c>
      <c r="J7">
        <f>ROUND(Parametros!$C$11*Parametros!I$2,0)</f>
        <v>393880</v>
      </c>
      <c r="K7">
        <f>ROUND(Parametros!$C$11*Parametros!J$2,0)</f>
        <v>357240</v>
      </c>
      <c r="L7">
        <f>ROUND(Parametros!$C$11*Parametros!K$2,0)</f>
        <v>375560</v>
      </c>
      <c r="M7">
        <f>ROUND(Parametros!$C$11*Parametros!L$2,0)</f>
        <v>416780</v>
      </c>
      <c r="N7">
        <f>ROUND(Parametros!$C$11*Parametros!M$2,0)</f>
        <v>476320</v>
      </c>
      <c r="O7">
        <f>SUM(C7:N7)</f>
        <v>4674680</v>
      </c>
    </row>
    <row r="8">
      <c r="A8" t="inlineStr">
        <is>
          <t>TOTAL</t>
        </is>
      </c>
      <c r="C8">
        <f>SUM(C2:C7)</f>
        <v>2114000</v>
      </c>
      <c r="D8">
        <f>SUM(D2:D7)</f>
        <v>1993200</v>
      </c>
      <c r="E8">
        <f>SUM(E2:E7)</f>
        <v>2144200</v>
      </c>
      <c r="F8">
        <f>SUM(F2:F7)</f>
        <v>2234800</v>
      </c>
      <c r="G8">
        <f>SUM(G2:G7)</f>
        <v>2536800</v>
      </c>
      <c r="H8">
        <f>SUM(H2:H7)</f>
        <v>2718000</v>
      </c>
      <c r="I8">
        <f>SUM(I2:I7)</f>
        <v>3235480</v>
      </c>
      <c r="J8">
        <f>SUM(J2:J7)</f>
        <v>2597200</v>
      </c>
      <c r="K8">
        <f>SUM(K2:K7)</f>
        <v>2355600</v>
      </c>
      <c r="L8">
        <f>SUM(L2:L7)</f>
        <v>2476400</v>
      </c>
      <c r="M8">
        <f>SUM(M2:M7)</f>
        <v>2748200</v>
      </c>
      <c r="N8">
        <f>SUM(N2:N7)</f>
        <v>3140800</v>
      </c>
      <c r="O8">
        <f>SUM(O2:O7)</f>
        <v>30294680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Demo</dc:creator>
  <ns2:created xsi:type="dcterms:W3CDTF">2026-09-30T08:00:00Z</ns2:created>
  <ns2:modified xsi:type="dcterms:W3CDTF">2026-09-30T08:00:00Z</ns2:modified>
</ns0:coreProperties>
</file>